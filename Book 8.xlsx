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9"/>
  <workbookPr defaultThemeVersion="166925"/>
  <xr:revisionPtr revIDLastSave="0" documentId="8_{B940D9E6-2B57-4CA5-B125-42D9D348367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" i="1" l="1"/>
  <c r="M3" i="1"/>
  <c r="M4" i="1"/>
  <c r="M5" i="1"/>
  <c r="M2" i="1"/>
  <c r="L3" i="1"/>
  <c r="L4" i="1"/>
  <c r="L5" i="1"/>
  <c r="K3" i="1"/>
  <c r="K4" i="1"/>
  <c r="K5" i="1"/>
  <c r="J3" i="1"/>
  <c r="J4" i="1"/>
  <c r="J5" i="1"/>
  <c r="K2" i="1"/>
  <c r="J2" i="1"/>
</calcChain>
</file>

<file path=xl/sharedStrings.xml><?xml version="1.0" encoding="utf-8"?>
<sst xmlns="http://schemas.openxmlformats.org/spreadsheetml/2006/main" count="24" uniqueCount="22">
  <si>
    <t>Doanh_Thu_Tu</t>
  </si>
  <si>
    <t>Doanh_Thu_Den</t>
  </si>
  <si>
    <t>Ti_Le_Hoa_Hong</t>
  </si>
  <si>
    <t>Ma_BDS</t>
  </si>
  <si>
    <t>Loai_BDS</t>
  </si>
  <si>
    <t>Khu_Vu</t>
  </si>
  <si>
    <t>Gia_Niem_Yet</t>
  </si>
  <si>
    <t>Ti_Le_Giam_Gia</t>
  </si>
  <si>
    <t>Gia_Thue_Thuc</t>
  </si>
  <si>
    <t>Doanh_Thu_Nam</t>
  </si>
  <si>
    <t>Tien_Hoa_Hong</t>
  </si>
  <si>
    <t>SH-001</t>
  </si>
  <si>
    <t>Căn hộ</t>
  </si>
  <si>
    <t>TP. Thủ Đức</t>
  </si>
  <si>
    <t>SH-002</t>
  </si>
  <si>
    <t>Nhà phố</t>
  </si>
  <si>
    <t>Q1</t>
  </si>
  <si>
    <t>SH-003</t>
  </si>
  <si>
    <t>Biệt Thự</t>
  </si>
  <si>
    <t>Q7</t>
  </si>
  <si>
    <t>SH-004</t>
  </si>
  <si>
    <t>căn hộ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</si>
</sst>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B7" sqref="B7"/>
    </sheetView>
  </sheetViews>
  <sheetFormatPr defaultRowHeight="15"/>
  <cols>
    <col min="1" max="1" width="13.5703125" customWidth="1"/>
    <col min="2" max="2" width="14.7109375" customWidth="1"/>
    <col min="3" max="3" width="15.5703125" customWidth="1"/>
    <col min="5" max="6" width="9.42578125" customWidth="1"/>
    <col min="7" max="7" width="12.140625" customWidth="1"/>
    <col min="8" max="8" width="13.140625" customWidth="1"/>
    <col min="9" max="9" width="15" customWidth="1"/>
    <col min="10" max="10" width="14.7109375" customWidth="1"/>
    <col min="11" max="11" width="16.140625" customWidth="1"/>
    <col min="12" max="12" width="17.140625" customWidth="1"/>
    <col min="13" max="13" width="16.28515625" customWidth="1"/>
  </cols>
  <sheetData>
    <row r="1" spans="1:13">
      <c r="A1" t="s">
        <v>0</v>
      </c>
      <c r="B1" t="s">
        <v>1</v>
      </c>
      <c r="C1" t="s">
        <v>2</v>
      </c>
      <c r="E1" t="s">
        <v>3</v>
      </c>
      <c r="F1" s="2" t="s">
        <v>4</v>
      </c>
      <c r="G1" s="2" t="s">
        <v>5</v>
      </c>
      <c r="H1" t="s">
        <v>6</v>
      </c>
      <c r="I1" t="s">
        <v>7</v>
      </c>
      <c r="J1" t="s">
        <v>8</v>
      </c>
      <c r="K1" t="s">
        <v>9</v>
      </c>
      <c r="L1" t="s">
        <v>2</v>
      </c>
      <c r="M1" t="s">
        <v>10</v>
      </c>
    </row>
    <row r="2" spans="1:13">
      <c r="A2">
        <v>0</v>
      </c>
      <c r="B2">
        <v>500</v>
      </c>
      <c r="C2" s="1">
        <v>0.01</v>
      </c>
      <c r="E2" t="s">
        <v>11</v>
      </c>
      <c r="F2" t="s">
        <v>12</v>
      </c>
      <c r="G2" t="s">
        <v>13</v>
      </c>
      <c r="H2">
        <v>25</v>
      </c>
      <c r="I2" s="3">
        <v>0.05</v>
      </c>
      <c r="J2">
        <f>H2*(1-I2)</f>
        <v>23.75</v>
      </c>
      <c r="K2">
        <f>J2*12</f>
        <v>285</v>
      </c>
      <c r="L2">
        <f>VLOOKUP(K2,$A$2:$C$5,3,TRUE)</f>
        <v>0.01</v>
      </c>
      <c r="M2">
        <f>K2*L2</f>
        <v>2.85</v>
      </c>
    </row>
    <row r="3" spans="1:13">
      <c r="A3">
        <v>500</v>
      </c>
      <c r="B3">
        <v>1500</v>
      </c>
      <c r="C3" s="1">
        <v>1.4999999999999999E-2</v>
      </c>
      <c r="E3" t="s">
        <v>14</v>
      </c>
      <c r="F3" t="s">
        <v>15</v>
      </c>
      <c r="G3" t="s">
        <v>16</v>
      </c>
      <c r="H3">
        <v>65</v>
      </c>
      <c r="I3" s="3">
        <v>0</v>
      </c>
      <c r="J3">
        <f t="shared" ref="J3:J5" si="0">H3*(1-I3)</f>
        <v>65</v>
      </c>
      <c r="K3">
        <f t="shared" ref="K3:K5" si="1">J3*12</f>
        <v>780</v>
      </c>
      <c r="L3">
        <f t="shared" ref="L3:L5" si="2">VLOOKUP(K3,$A$2:$C$5,3,TRUE)</f>
        <v>1.4999999999999999E-2</v>
      </c>
      <c r="M3">
        <f t="shared" ref="M3:M5" si="3">K3*L3</f>
        <v>11.7</v>
      </c>
    </row>
    <row r="4" spans="1:13">
      <c r="A4">
        <v>1500</v>
      </c>
      <c r="B4">
        <v>3000</v>
      </c>
      <c r="C4" s="1">
        <v>0.02</v>
      </c>
      <c r="E4" t="s">
        <v>17</v>
      </c>
      <c r="F4" t="s">
        <v>18</v>
      </c>
      <c r="G4" t="s">
        <v>19</v>
      </c>
      <c r="H4">
        <v>120</v>
      </c>
      <c r="I4" s="3">
        <v>0.1</v>
      </c>
      <c r="J4">
        <f t="shared" si="0"/>
        <v>108</v>
      </c>
      <c r="K4">
        <f t="shared" si="1"/>
        <v>1296</v>
      </c>
      <c r="L4">
        <f t="shared" si="2"/>
        <v>1.4999999999999999E-2</v>
      </c>
      <c r="M4">
        <f t="shared" si="3"/>
        <v>19.439999999999998</v>
      </c>
    </row>
    <row r="5" spans="1:13">
      <c r="A5">
        <v>3000</v>
      </c>
      <c r="B5">
        <v>999999</v>
      </c>
      <c r="C5" s="1">
        <v>2.5000000000000001E-2</v>
      </c>
      <c r="E5" t="s">
        <v>20</v>
      </c>
      <c r="F5" t="s">
        <v>21</v>
      </c>
      <c r="G5" t="s">
        <v>13</v>
      </c>
      <c r="H5">
        <v>25</v>
      </c>
      <c r="I5" s="3">
        <v>0.05</v>
      </c>
      <c r="J5">
        <f t="shared" si="0"/>
        <v>23.75</v>
      </c>
      <c r="K5">
        <f t="shared" si="1"/>
        <v>285</v>
      </c>
      <c r="L5">
        <f t="shared" si="2"/>
        <v>0.01</v>
      </c>
      <c r="M5">
        <f t="shared" si="3"/>
        <v>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2026-10-26T14:11:49Z</dcterms:created>
  <dcterms:modified xsi:type="dcterms:W3CDTF">2026-10-26T15:35:56Z</dcterms:modified>
  <cp:category/>
  <cp:contentStatus/>
</cp:coreProperties>
</file>